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asic Tier" sheetId="2" state="visible" r:id="rId4"/>
    <sheet name="Medium Tier" sheetId="3" state="visible" r:id="rId5"/>
    <sheet name="Premium Tier" sheetId="4" state="visible" r:id="rId6"/>
    <sheet name="Companion App Scope" sheetId="5" state="visible" r:id="rId7"/>
    <sheet name="Modules &amp; Timelin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<sst xmlns="http://schemas.openxmlformats.org/spreadsheetml/2006/main" count="220" uniqueCount="151">
  <si>
    <t xml:space="preserve">UHN Accessibility First eLearning Series — Cost Comparison</t>
  </si>
  <si>
    <t xml:space="preserve">Prepared for: Jacqueline Silvera, UHN  |  April 2026</t>
  </si>
  <si>
    <t xml:space="preserve">Scope: 1 intro module + 18 guide modules (417 pages / ~58K words source content)  |  Timeline: 6 months  |  Audience: UHN staff → TAHSN Phase 2</t>
  </si>
  <si>
    <t xml:space="preserve">Grounded in Jacqueline's 'Digitization Guidance': micro-modules (5–7 min), Accessibility Decision Path, role-based entry points, WCAG 2.1 AA, dignity-based &amp; trauma-informed design.</t>
  </si>
  <si>
    <t xml:space="preserve">Tier</t>
  </si>
  <si>
    <t xml:space="preserve">Description</t>
  </si>
  <si>
    <t xml:space="preserve">Target Quality</t>
  </si>
  <si>
    <t xml:space="preserve">Total Cost (CAD)</t>
  </si>
  <si>
    <t xml:space="preserve">Per Module (CAD)</t>
  </si>
  <si>
    <t xml:space="preserve">Grant Fit</t>
  </si>
  <si>
    <t xml:space="preserve">Basic</t>
  </si>
  <si>
    <t xml:space="preserve">Internal UHN resources only. Articulate Rise templates, SME-authored content, text-to-speech narration, stock imagery. Delivered via UHN LMS.</t>
  </si>
  <si>
    <t xml:space="preserve">Compliance-grade</t>
  </si>
  <si>
    <t xml:space="preserve">No external funding needed</t>
  </si>
  <si>
    <t xml:space="preserve">Medium</t>
  </si>
  <si>
    <t xml:space="preserve">External contractors focused on rich MULTIMEDIA content: senior instructional designer, eLearning developer, professional bilingual voiceover, custom illustrations, short scenario videos &amp; motion graphics. WCAG 2.1 AA, SCORM. No custom programming.</t>
  </si>
  <si>
    <t xml:space="preserve">Professional, media-rich</t>
  </si>
  <si>
    <t xml:space="preserve">Fits $60K–$120K grant</t>
  </si>
  <si>
    <t xml:space="preserve">Premium</t>
  </si>
  <si>
    <t xml:space="preserve">BOTH the full eLearning course (19 modules, media-rich, as per Medium tier) AND a companion mobile App (installable PWA) built by an external programmer contractor. The app bundles the Accessibility Decision Path, role-based pathways (Nurse / Admin / Security), and the 'In the Moment' quick-reference tool — installable on staff phones and tablets.</t>
  </si>
  <si>
    <t xml:space="preserve">Course + Companion App</t>
  </si>
  <si>
    <t xml:space="preserve">At grant ceiling ($120K)</t>
  </si>
  <si>
    <t xml:space="preserve">RECOMMENDATION</t>
  </si>
  <si>
    <t xml:space="preserve">Submit the PREMIUM tier (~$118K) as the grant application. It fills the $60K–$120K provincial grant envelope and delivers TWO connected products: the full 19-module eLearning course (media-rich, as per Medium tier) AND a companion mobile App (installable PWA) containing the Accessibility Decision Path, role-based pathways, and the 'In the Moment' quick-reference tool. Together they realize the Digitization Guidance vision in full and create reusable IP for TAHSN Phase 2. If leadership prefers a smaller ask, the MEDIUM tier (~$84K) delivers just the eLearning course with no companion app.</t>
  </si>
  <si>
    <t xml:space="preserve">Key assumptions (Medium &amp; Premium):</t>
  </si>
  <si>
    <t xml:space="preserve">• Articulate Storyline / Rise license is provided by the eLearning developer contractor (not a separate budget line).</t>
  </si>
  <si>
    <t xml:space="preserve">• Project management is handled internally by UHN (not billed to the project).</t>
  </si>
  <si>
    <t xml:space="preserve">TIER 1 — BASIC (Internal Only)</t>
  </si>
  <si>
    <t xml:space="preserve">Category</t>
  </si>
  <si>
    <t xml:space="preserve">Line Item</t>
  </si>
  <si>
    <t xml:space="preserve">Qty / Units</t>
  </si>
  <si>
    <t xml:space="preserve">Unit Cost (CAD)</t>
  </si>
  <si>
    <t xml:space="preserve">Subtotal (CAD)</t>
  </si>
  <si>
    <t xml:space="preserve">Content</t>
  </si>
  <si>
    <t xml:space="preserve">SME time — UHN clinicians / accessibility leads (content review, scripting)</t>
  </si>
  <si>
    <t xml:space="preserve">Instructional design (internal UHN staff time, if available)</t>
  </si>
  <si>
    <t xml:space="preserve">Platform</t>
  </si>
  <si>
    <t xml:space="preserve">Articulate Rise 360 license (if not already held by UHN)</t>
  </si>
  <si>
    <t xml:space="preserve">Stock imagery &amp; icon library subscription (6 mo)</t>
  </si>
  <si>
    <t xml:space="preserve">Media</t>
  </si>
  <si>
    <t xml:space="preserve">Text-to-speech narration (AI voices)</t>
  </si>
  <si>
    <t xml:space="preserve">Basic graphics / layout (internal)</t>
  </si>
  <si>
    <t xml:space="preserve">QA</t>
  </si>
  <si>
    <t xml:space="preserve">WCAG 2.1 AA internal review</t>
  </si>
  <si>
    <t xml:space="preserve">Accessibility audit tool subscription (6 mo)</t>
  </si>
  <si>
    <t xml:space="preserve">LMS</t>
  </si>
  <si>
    <t xml:space="preserve">Deployment on UHN existing LMS</t>
  </si>
  <si>
    <t xml:space="preserve">Contingency</t>
  </si>
  <si>
    <t xml:space="preserve">Contingency (licenses, overage)</t>
  </si>
  <si>
    <t xml:space="preserve">TOTAL</t>
  </si>
  <si>
    <t xml:space="preserve">TIER 2 — MEDIUM (Multimedia-Heavy, No Custom Programming)</t>
  </si>
  <si>
    <t xml:space="preserve">Instructional Design</t>
  </si>
  <si>
    <t xml:space="preserve">Senior instructional designer — chunk 417-page source, scripting, storyboards (18 days)</t>
  </si>
  <si>
    <t xml:space="preserve">eLearning Development</t>
  </si>
  <si>
    <t xml:space="preserve">Articulate Storyline / Rise developer — build 19 modules with branching scenarios (contractor provides own license)</t>
  </si>
  <si>
    <t xml:space="preserve">Multimedia — Voiceover</t>
  </si>
  <si>
    <t xml:space="preserve">Professional bilingual (EN/FR) voiceover — per module</t>
  </si>
  <si>
    <t xml:space="preserve">Multimedia — Visuals</t>
  </si>
  <si>
    <t xml:space="preserve">Custom illustrations &amp; iconography (diverse, intersectional imagery)</t>
  </si>
  <si>
    <t xml:space="preserve">Multimedia — Video</t>
  </si>
  <si>
    <t xml:space="preserve">Short scenario videos with actors (3 key modules)</t>
  </si>
  <si>
    <t xml:space="preserve">Multimedia — Motion</t>
  </si>
  <si>
    <t xml:space="preserve">Motion graphics &amp; animated explainers (5 modules)</t>
  </si>
  <si>
    <t xml:space="preserve">Multimedia — Audio</t>
  </si>
  <si>
    <t xml:space="preserve">Captions, audio description, sound design across all modules</t>
  </si>
  <si>
    <t xml:space="preserve">Platform &amp; Tools</t>
  </si>
  <si>
    <t xml:space="preserve">Stock media, icon library, font licenses</t>
  </si>
  <si>
    <t xml:space="preserve">Accessibility QA</t>
  </si>
  <si>
    <t xml:space="preserve">External WCAG 2.1 AA audit + remediation pass</t>
  </si>
  <si>
    <t xml:space="preserve">User testing with persons with disabilities (6 sessions, honoraria)</t>
  </si>
  <si>
    <t xml:space="preserve">LMS Integration</t>
  </si>
  <si>
    <t xml:space="preserve">SCORM packaging, UHN LMS deployment &amp; smoke testing</t>
  </si>
  <si>
    <t xml:space="preserve">Contingency (~6%)</t>
  </si>
  <si>
    <t xml:space="preserve">TIER 3 — PREMIUM (eLearning Course + Companion Mobile App)</t>
  </si>
  <si>
    <t xml:space="preserve">Senior ID — chunk 417-page source + app/course spec collaboration (20 days)</t>
  </si>
  <si>
    <t xml:space="preserve">Articulate developer — 19 modules with branching scenarios (contractor provides own license)</t>
  </si>
  <si>
    <t xml:space="preserve">Professional bilingual (EN/FR) voiceover</t>
  </si>
  <si>
    <t xml:space="preserve">Custom illustrations, iconography, brand system (shared between course &amp; app)</t>
  </si>
  <si>
    <t xml:space="preserve">Short scenario videos with actors (2 key modules)</t>
  </si>
  <si>
    <t xml:space="preserve">Motion graphics &amp; animated explainers (4 modules)</t>
  </si>
  <si>
    <t xml:space="preserve">Companion App</t>
  </si>
  <si>
    <t xml:space="preserve">External programmer contractor — app architecture, installable PWA setup, auth, offline support</t>
  </si>
  <si>
    <t xml:space="preserve">External programmer contractor — 'Accessibility Decision Path' feature (branching decision-tree)</t>
  </si>
  <si>
    <t xml:space="preserve">External programmer contractor — role-based pathway feature (Nurse / Admin / Security entry points)</t>
  </si>
  <si>
    <t xml:space="preserve">External programmer contractor — 'In the Moment' quick-reference feature (bookmarkable scenarios)</t>
  </si>
  <si>
    <t xml:space="preserve">UX / UI design for companion app (mobile-first, WCAG 2.1 AA)</t>
  </si>
  <si>
    <t xml:space="preserve">App testing, deployment &amp; store/PWA launch</t>
  </si>
  <si>
    <t xml:space="preserve">App hosting (Year 1) + domain + SSL</t>
  </si>
  <si>
    <t xml:space="preserve">External WCAG 2.1 AA audit (course + companion app)</t>
  </si>
  <si>
    <t xml:space="preserve">Lived-experience user testing (10 sessions, honoraria + facilitation)</t>
  </si>
  <si>
    <t xml:space="preserve">SCORM packaging, UHN LMS deployment, app–LMS SSO integration</t>
  </si>
  <si>
    <t xml:space="preserve">Companion Mobile App — Scope (Premium Tier Only)</t>
  </si>
  <si>
    <t xml:space="preserve">Custom programming is introduced ONLY in the Premium tier. It is packaged as a single installable companion app (PWA) that sits alongside the eLearning course. Medium and Basic tiers deliver only the course.</t>
  </si>
  <si>
    <t xml:space="preserve">Component</t>
  </si>
  <si>
    <t xml:space="preserve">Timeline</t>
  </si>
  <si>
    <t xml:space="preserve">Budget (CAD)</t>
  </si>
  <si>
    <t xml:space="preserve">App Architecture &amp; PWA Setup</t>
  </si>
  <si>
    <t xml:space="preserve">Installable Progressive Web App scaffolding, authentication (UHN SSO-compatible), offline support, cross-device sync, analytics.</t>
  </si>
  <si>
    <t xml:space="preserve">4 weeks</t>
  </si>
  <si>
    <t xml:space="preserve">Accessibility Decision Path (feature)</t>
  </si>
  <si>
    <t xml:space="preserve">Branching decision-tree translating the 'What's happening? / What do you notice? / What does the person need? / What can you adapt?' flow into a guided in-app experience. Output: suggested action, policy alignment, escalation guidance.</t>
  </si>
  <si>
    <t xml:space="preserve">7 weeks</t>
  </si>
  <si>
    <t xml:space="preserve">Role-Based Pathways (feature)</t>
  </si>
  <si>
    <t xml:space="preserve">Landing experience routing Nurse / Admin / Security to role-specific scenarios and entry points. Integrates with the other app features.</t>
  </si>
  <si>
    <t xml:space="preserve">3 weeks</t>
  </si>
  <si>
    <t xml:space="preserve">'In the Moment' Quick-Reference (feature)</t>
  </si>
  <si>
    <t xml:space="preserve">'I need help now' screen: bookmarkable scenarios, 30-second summaries, quick search. Optimized for mobile and tablet.</t>
  </si>
  <si>
    <t xml:space="preserve">UX / UI Design</t>
  </si>
  <si>
    <t xml:space="preserve">Mobile-first, WCAG 2.1 AA accessible design system for the app. Reuses the illustrations and iconography created for the course.</t>
  </si>
  <si>
    <t xml:space="preserve">Parallel</t>
  </si>
  <si>
    <t xml:space="preserve">Testing, Deployment &amp; Launch</t>
  </si>
  <si>
    <t xml:space="preserve">QA, accessibility testing, PWA install flow, launch/enrolment for UHN staff.</t>
  </si>
  <si>
    <t xml:space="preserve">TOTAL COMPANION APP</t>
  </si>
  <si>
    <t xml:space="preserve">All six components delivered within the 6-month project timeline.</t>
  </si>
  <si>
    <t xml:space="preserve">Within 6 mo</t>
  </si>
  <si>
    <t xml:space="preserve">Module List &amp; 6-Month Timeline</t>
  </si>
  <si>
    <t xml:space="preserve">#</t>
  </si>
  <si>
    <t xml:space="preserve">Module</t>
  </si>
  <si>
    <t xml:space="preserve">Phase</t>
  </si>
  <si>
    <t xml:space="preserve">Month</t>
  </si>
  <si>
    <t xml:space="preserve">Notes</t>
  </si>
  <si>
    <t xml:space="preserve">Intro: Accessibility at UHN (orientation)</t>
  </si>
  <si>
    <t xml:space="preserve">Foundations</t>
  </si>
  <si>
    <t xml:space="preserve">Month 1</t>
  </si>
  <si>
    <t xml:space="preserve">Overview, why this matters, navigation</t>
  </si>
  <si>
    <t xml:space="preserve">Introduction to Accessibility &amp; Guiding Principles</t>
  </si>
  <si>
    <t xml:space="preserve">Perceptions, Attitudes &amp; Barriers</t>
  </si>
  <si>
    <t xml:space="preserve">Vision Disabilities</t>
  </si>
  <si>
    <t xml:space="preserve">Understanding</t>
  </si>
  <si>
    <t xml:space="preserve">Month 2</t>
  </si>
  <si>
    <t xml:space="preserve">Sensory, Hearing &amp; Communication Disabilities</t>
  </si>
  <si>
    <t xml:space="preserve">Physical Disabilities &amp; Mobility</t>
  </si>
  <si>
    <t xml:space="preserve">Mental Health Disabilities</t>
  </si>
  <si>
    <t xml:space="preserve">Month 3</t>
  </si>
  <si>
    <t xml:space="preserve">Intellectual, Developmental &amp; Learning Disabilities</t>
  </si>
  <si>
    <t xml:space="preserve">Non-Visible Disabilities</t>
  </si>
  <si>
    <t xml:space="preserve">Aging, Disability &amp; Intersectionality</t>
  </si>
  <si>
    <t xml:space="preserve">Applied Practice</t>
  </si>
  <si>
    <t xml:space="preserve">Month 4</t>
  </si>
  <si>
    <t xml:space="preserve">Engaging with Confidence &amp; Respect</t>
  </si>
  <si>
    <t xml:space="preserve">Animals in Healthcare &amp; Public Spaces</t>
  </si>
  <si>
    <t xml:space="preserve">Support Persons</t>
  </si>
  <si>
    <t xml:space="preserve">Assistive Devices: Access, Safety &amp; Dignity</t>
  </si>
  <si>
    <t xml:space="preserve">Month 5</t>
  </si>
  <si>
    <t xml:space="preserve">Communication &amp; Information Accessibility</t>
  </si>
  <si>
    <t xml:space="preserve">Neurodiversity &amp; Sensory Regulation</t>
  </si>
  <si>
    <t xml:space="preserve">Trauma-Informed Accessibility</t>
  </si>
  <si>
    <t xml:space="preserve">Accessibility in Crisis &amp; De-Escalation</t>
  </si>
  <si>
    <t xml:space="preserve">Month 6</t>
  </si>
  <si>
    <t xml:space="preserve">Legislation, WCAG 2.1 &amp; Ongoing Practice</t>
  </si>
  <si>
    <t xml:space="preserve">Final: UAT, launch, handoff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</si>
</sst>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5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2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2" t="s">
        <v>3</v>
      </c>
      <c r="B4" s="2"/>
      <c r="C4" s="2"/>
      <c r="D4" s="2"/>
      <c r="E4" s="2"/>
      <c r="F4" s="2"/>
    </row>
    <row r="5" customFormat="false" ht="27.75" hidden="false" customHeight="true" outlineLevel="0" collapsed="false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customFormat="false" ht="75" hidden="false" customHeight="true" outlineLevel="0" collapsed="false">
      <c r="A6" s="4" t="s">
        <v>10</v>
      </c>
      <c r="B6" s="5" t="s">
        <v>11</v>
      </c>
      <c r="C6" s="5" t="s">
        <v>12</v>
      </c>
      <c r="D6" s="6" t="n">
        <f aca="false">'Basic Tier'!E14</f>
        <v>8000</v>
      </c>
      <c r="E6" s="7" t="n">
        <f aca="false">D6/19</f>
        <v>421.052631578947</v>
      </c>
      <c r="F6" s="5" t="s">
        <v>13</v>
      </c>
    </row>
    <row r="7" customFormat="false" ht="109.5" hidden="false" customHeight="true" outlineLevel="0" collapsed="false">
      <c r="A7" s="8" t="s">
        <v>14</v>
      </c>
      <c r="B7" s="9" t="s">
        <v>15</v>
      </c>
      <c r="C7" s="9" t="s">
        <v>16</v>
      </c>
      <c r="D7" s="10" t="n">
        <f aca="false">'Medium Tier'!E16</f>
        <v>84200</v>
      </c>
      <c r="E7" s="11" t="n">
        <f aca="false">D7/19</f>
        <v>4431.57894736842</v>
      </c>
      <c r="F7" s="9" t="s">
        <v>17</v>
      </c>
    </row>
    <row r="8" customFormat="false" ht="109.5" hidden="false" customHeight="true" outlineLevel="0" collapsed="false">
      <c r="A8" s="12" t="s">
        <v>18</v>
      </c>
      <c r="B8" s="13" t="s">
        <v>19</v>
      </c>
      <c r="C8" s="13" t="s">
        <v>20</v>
      </c>
      <c r="D8" s="14" t="n">
        <f aca="false">'Premium Tier'!E22</f>
        <v>118000</v>
      </c>
      <c r="E8" s="15" t="n">
        <f aca="false">D8/19</f>
        <v>6210.52631578947</v>
      </c>
      <c r="F8" s="13" t="s">
        <v>21</v>
      </c>
    </row>
    <row r="11" customFormat="false" ht="15" hidden="false" customHeight="true" outlineLevel="0" collapsed="false">
      <c r="A11" s="16" t="s">
        <v>22</v>
      </c>
      <c r="B11" s="16"/>
      <c r="C11" s="16"/>
      <c r="D11" s="16"/>
      <c r="E11" s="16"/>
      <c r="F11" s="16"/>
    </row>
    <row r="12" customFormat="false" ht="109.5" hidden="false" customHeight="true" outlineLevel="0" collapsed="false">
      <c r="A12" s="17" t="s">
        <v>23</v>
      </c>
      <c r="B12" s="17"/>
      <c r="C12" s="17"/>
      <c r="D12" s="17"/>
      <c r="E12" s="17"/>
      <c r="F12" s="17"/>
    </row>
    <row r="14" customFormat="false" ht="15" hidden="false" customHeight="false" outlineLevel="0" collapsed="false">
      <c r="A14" s="18" t="s">
        <v>24</v>
      </c>
      <c r="B14" s="18"/>
      <c r="C14" s="18"/>
      <c r="D14" s="18"/>
      <c r="E14" s="18"/>
      <c r="F14" s="18"/>
    </row>
    <row r="15" customFormat="false" ht="15" hidden="false" customHeight="false" outlineLevel="0" collapsed="false">
      <c r="A15" s="19" t="s">
        <v>25</v>
      </c>
      <c r="B15" s="19"/>
      <c r="C15" s="19"/>
      <c r="D15" s="19"/>
      <c r="E15" s="19"/>
      <c r="F15" s="19"/>
    </row>
    <row r="16" customFormat="false" ht="15" hidden="false" customHeight="false" outlineLevel="0" collapsed="false">
      <c r="A16" s="19" t="s">
        <v>26</v>
      </c>
      <c r="B16" s="19"/>
      <c r="C16" s="19"/>
      <c r="D16" s="19"/>
      <c r="E16" s="19"/>
      <c r="F16" s="19"/>
    </row>
  </sheetData>
  <mergeCells count="9">
    <mergeCell ref="A1:F1"/>
    <mergeCell ref="A2:F2"/>
    <mergeCell ref="A3:F3"/>
    <mergeCell ref="A4:F4"/>
    <mergeCell ref="A11:F11"/>
    <mergeCell ref="A12:F12"/>
    <mergeCell ref="A14:F14"/>
    <mergeCell ref="A15:F15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20" t="s">
        <v>27</v>
      </c>
      <c r="B1" s="20"/>
      <c r="C1" s="20"/>
      <c r="D1" s="20"/>
      <c r="E1" s="20"/>
    </row>
    <row r="3" customFormat="false" ht="27.75" hidden="false" customHeight="true" outlineLevel="0" collapsed="false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</row>
    <row r="4" customFormat="false" ht="23.85" hidden="false" customHeight="false" outlineLevel="0" collapsed="false">
      <c r="A4" s="21" t="s">
        <v>33</v>
      </c>
      <c r="B4" s="5" t="s">
        <v>34</v>
      </c>
      <c r="C4" s="22" t="n">
        <v>120</v>
      </c>
      <c r="D4" s="23" t="n">
        <v>0</v>
      </c>
      <c r="E4" s="7" t="n">
        <f aca="false">C4*D4</f>
        <v>0</v>
      </c>
    </row>
    <row r="5" customFormat="false" ht="15" hidden="false" customHeight="false" outlineLevel="0" collapsed="false">
      <c r="A5" s="21" t="s">
        <v>33</v>
      </c>
      <c r="B5" s="5" t="s">
        <v>35</v>
      </c>
      <c r="C5" s="22" t="n">
        <v>80</v>
      </c>
      <c r="D5" s="23" t="n">
        <v>0</v>
      </c>
      <c r="E5" s="7" t="n">
        <f aca="false">C5*D5</f>
        <v>0</v>
      </c>
    </row>
    <row r="6" customFormat="false" ht="15" hidden="false" customHeight="false" outlineLevel="0" collapsed="false">
      <c r="A6" s="21" t="s">
        <v>36</v>
      </c>
      <c r="B6" s="5" t="s">
        <v>37</v>
      </c>
      <c r="C6" s="22" t="n">
        <v>1</v>
      </c>
      <c r="D6" s="23" t="n">
        <v>1500</v>
      </c>
      <c r="E6" s="7" t="n">
        <f aca="false">C6*D6</f>
        <v>1500</v>
      </c>
    </row>
    <row r="7" customFormat="false" ht="15" hidden="false" customHeight="false" outlineLevel="0" collapsed="false">
      <c r="A7" s="21" t="s">
        <v>36</v>
      </c>
      <c r="B7" s="5" t="s">
        <v>38</v>
      </c>
      <c r="C7" s="22" t="n">
        <v>1</v>
      </c>
      <c r="D7" s="23" t="n">
        <v>600</v>
      </c>
      <c r="E7" s="7" t="n">
        <f aca="false">C7*D7</f>
        <v>600</v>
      </c>
    </row>
    <row r="8" customFormat="false" ht="15" hidden="false" customHeight="false" outlineLevel="0" collapsed="false">
      <c r="A8" s="21" t="s">
        <v>39</v>
      </c>
      <c r="B8" s="5" t="s">
        <v>40</v>
      </c>
      <c r="C8" s="22" t="n">
        <v>1</v>
      </c>
      <c r="D8" s="23" t="n">
        <v>500</v>
      </c>
      <c r="E8" s="7" t="n">
        <f aca="false">C8*D8</f>
        <v>500</v>
      </c>
    </row>
    <row r="9" customFormat="false" ht="15" hidden="false" customHeight="false" outlineLevel="0" collapsed="false">
      <c r="A9" s="21" t="s">
        <v>39</v>
      </c>
      <c r="B9" s="5" t="s">
        <v>41</v>
      </c>
      <c r="C9" s="22" t="n">
        <v>1</v>
      </c>
      <c r="D9" s="23" t="n">
        <v>0</v>
      </c>
      <c r="E9" s="7" t="n">
        <f aca="false">C9*D9</f>
        <v>0</v>
      </c>
    </row>
    <row r="10" customFormat="false" ht="15" hidden="false" customHeight="false" outlineLevel="0" collapsed="false">
      <c r="A10" s="21" t="s">
        <v>42</v>
      </c>
      <c r="B10" s="5" t="s">
        <v>43</v>
      </c>
      <c r="C10" s="22" t="n">
        <v>1</v>
      </c>
      <c r="D10" s="23" t="n">
        <v>0</v>
      </c>
      <c r="E10" s="7" t="n">
        <f aca="false">C10*D10</f>
        <v>0</v>
      </c>
    </row>
    <row r="11" customFormat="false" ht="15" hidden="false" customHeight="false" outlineLevel="0" collapsed="false">
      <c r="A11" s="21" t="s">
        <v>42</v>
      </c>
      <c r="B11" s="5" t="s">
        <v>44</v>
      </c>
      <c r="C11" s="22" t="n">
        <v>1</v>
      </c>
      <c r="D11" s="23" t="n">
        <v>800</v>
      </c>
      <c r="E11" s="7" t="n">
        <f aca="false">C11*D11</f>
        <v>800</v>
      </c>
    </row>
    <row r="12" customFormat="false" ht="15" hidden="false" customHeight="false" outlineLevel="0" collapsed="false">
      <c r="A12" s="21" t="s">
        <v>45</v>
      </c>
      <c r="B12" s="5" t="s">
        <v>46</v>
      </c>
      <c r="C12" s="22" t="n">
        <v>1</v>
      </c>
      <c r="D12" s="23" t="n">
        <v>0</v>
      </c>
      <c r="E12" s="7" t="n">
        <f aca="false">C12*D12</f>
        <v>0</v>
      </c>
    </row>
    <row r="13" customFormat="false" ht="15" hidden="false" customHeight="false" outlineLevel="0" collapsed="false">
      <c r="A13" s="21" t="s">
        <v>47</v>
      </c>
      <c r="B13" s="5" t="s">
        <v>48</v>
      </c>
      <c r="C13" s="22" t="n">
        <v>1</v>
      </c>
      <c r="D13" s="23" t="n">
        <v>4600</v>
      </c>
      <c r="E13" s="7" t="n">
        <f aca="false">C13*D13</f>
        <v>4600</v>
      </c>
    </row>
    <row r="14" customFormat="false" ht="21.75" hidden="false" customHeight="true" outlineLevel="0" collapsed="false">
      <c r="A14" s="24" t="s">
        <v>49</v>
      </c>
      <c r="B14" s="25"/>
      <c r="C14" s="25"/>
      <c r="D14" s="25"/>
      <c r="E14" s="26" t="n">
        <f aca="false">SUM(E4:E13)</f>
        <v>8000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20" t="s">
        <v>50</v>
      </c>
      <c r="B1" s="20"/>
      <c r="C1" s="20"/>
      <c r="D1" s="20"/>
      <c r="E1" s="20"/>
    </row>
    <row r="3" customFormat="false" ht="27.75" hidden="false" customHeight="true" outlineLevel="0" collapsed="false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</row>
    <row r="4" customFormat="false" ht="23.85" hidden="false" customHeight="false" outlineLevel="0" collapsed="false">
      <c r="A4" s="27" t="s">
        <v>51</v>
      </c>
      <c r="B4" s="9" t="s">
        <v>52</v>
      </c>
      <c r="C4" s="28" t="n">
        <v>18</v>
      </c>
      <c r="D4" s="29" t="n">
        <v>1200</v>
      </c>
      <c r="E4" s="11" t="n">
        <f aca="false">C4*D4</f>
        <v>21600</v>
      </c>
    </row>
    <row r="5" customFormat="false" ht="23.85" hidden="false" customHeight="false" outlineLevel="0" collapsed="false">
      <c r="A5" s="27" t="s">
        <v>53</v>
      </c>
      <c r="B5" s="9" t="s">
        <v>54</v>
      </c>
      <c r="C5" s="28" t="n">
        <v>19</v>
      </c>
      <c r="D5" s="29" t="n">
        <v>1100</v>
      </c>
      <c r="E5" s="11" t="n">
        <f aca="false">C5*D5</f>
        <v>20900</v>
      </c>
    </row>
    <row r="6" customFormat="false" ht="15" hidden="false" customHeight="false" outlineLevel="0" collapsed="false">
      <c r="A6" s="27" t="s">
        <v>55</v>
      </c>
      <c r="B6" s="9" t="s">
        <v>56</v>
      </c>
      <c r="C6" s="28" t="n">
        <v>19</v>
      </c>
      <c r="D6" s="29" t="n">
        <v>400</v>
      </c>
      <c r="E6" s="11" t="n">
        <f aca="false">C6*D6</f>
        <v>7600</v>
      </c>
    </row>
    <row r="7" customFormat="false" ht="15" hidden="false" customHeight="false" outlineLevel="0" collapsed="false">
      <c r="A7" s="27" t="s">
        <v>57</v>
      </c>
      <c r="B7" s="9" t="s">
        <v>58</v>
      </c>
      <c r="C7" s="28" t="n">
        <v>1</v>
      </c>
      <c r="D7" s="29" t="n">
        <v>5500</v>
      </c>
      <c r="E7" s="11" t="n">
        <f aca="false">C7*D7</f>
        <v>5500</v>
      </c>
    </row>
    <row r="8" customFormat="false" ht="15" hidden="false" customHeight="false" outlineLevel="0" collapsed="false">
      <c r="A8" s="27" t="s">
        <v>59</v>
      </c>
      <c r="B8" s="9" t="s">
        <v>60</v>
      </c>
      <c r="C8" s="28" t="n">
        <v>3</v>
      </c>
      <c r="D8" s="29" t="n">
        <v>2500</v>
      </c>
      <c r="E8" s="11" t="n">
        <f aca="false">C8*D8</f>
        <v>7500</v>
      </c>
    </row>
    <row r="9" customFormat="false" ht="15" hidden="false" customHeight="false" outlineLevel="0" collapsed="false">
      <c r="A9" s="27" t="s">
        <v>61</v>
      </c>
      <c r="B9" s="9" t="s">
        <v>62</v>
      </c>
      <c r="C9" s="28" t="n">
        <v>5</v>
      </c>
      <c r="D9" s="29" t="n">
        <v>800</v>
      </c>
      <c r="E9" s="11" t="n">
        <f aca="false">C9*D9</f>
        <v>4000</v>
      </c>
    </row>
    <row r="10" customFormat="false" ht="15" hidden="false" customHeight="false" outlineLevel="0" collapsed="false">
      <c r="A10" s="27" t="s">
        <v>63</v>
      </c>
      <c r="B10" s="9" t="s">
        <v>64</v>
      </c>
      <c r="C10" s="28" t="n">
        <v>19</v>
      </c>
      <c r="D10" s="29" t="n">
        <v>150</v>
      </c>
      <c r="E10" s="11" t="n">
        <f aca="false">C10*D10</f>
        <v>2850</v>
      </c>
    </row>
    <row r="11" customFormat="false" ht="15" hidden="false" customHeight="false" outlineLevel="0" collapsed="false">
      <c r="A11" s="27" t="s">
        <v>65</v>
      </c>
      <c r="B11" s="9" t="s">
        <v>66</v>
      </c>
      <c r="C11" s="28" t="n">
        <v>1</v>
      </c>
      <c r="D11" s="29" t="n">
        <v>1200</v>
      </c>
      <c r="E11" s="11" t="n">
        <f aca="false">C11*D11</f>
        <v>1200</v>
      </c>
    </row>
    <row r="12" customFormat="false" ht="15" hidden="false" customHeight="false" outlineLevel="0" collapsed="false">
      <c r="A12" s="27" t="s">
        <v>67</v>
      </c>
      <c r="B12" s="9" t="s">
        <v>68</v>
      </c>
      <c r="C12" s="28" t="n">
        <v>1</v>
      </c>
      <c r="D12" s="29" t="n">
        <v>3500</v>
      </c>
      <c r="E12" s="11" t="n">
        <f aca="false">C12*D12</f>
        <v>3500</v>
      </c>
    </row>
    <row r="13" customFormat="false" ht="15" hidden="false" customHeight="false" outlineLevel="0" collapsed="false">
      <c r="A13" s="27" t="s">
        <v>67</v>
      </c>
      <c r="B13" s="9" t="s">
        <v>69</v>
      </c>
      <c r="C13" s="28" t="n">
        <v>6</v>
      </c>
      <c r="D13" s="29" t="n">
        <v>250</v>
      </c>
      <c r="E13" s="11" t="n">
        <f aca="false">C13*D13</f>
        <v>1500</v>
      </c>
    </row>
    <row r="14" customFormat="false" ht="15" hidden="false" customHeight="false" outlineLevel="0" collapsed="false">
      <c r="A14" s="27" t="s">
        <v>70</v>
      </c>
      <c r="B14" s="9" t="s">
        <v>71</v>
      </c>
      <c r="C14" s="28" t="n">
        <v>1</v>
      </c>
      <c r="D14" s="29" t="n">
        <v>3000</v>
      </c>
      <c r="E14" s="11" t="n">
        <f aca="false">C14*D14</f>
        <v>3000</v>
      </c>
    </row>
    <row r="15" customFormat="false" ht="15" hidden="false" customHeight="false" outlineLevel="0" collapsed="false">
      <c r="A15" s="27" t="s">
        <v>47</v>
      </c>
      <c r="B15" s="9" t="s">
        <v>72</v>
      </c>
      <c r="C15" s="28" t="n">
        <v>1</v>
      </c>
      <c r="D15" s="29" t="n">
        <v>5050</v>
      </c>
      <c r="E15" s="11" t="n">
        <f aca="false">C15*D15</f>
        <v>5050</v>
      </c>
    </row>
    <row r="16" customFormat="false" ht="21.75" hidden="false" customHeight="true" outlineLevel="0" collapsed="false">
      <c r="A16" s="24" t="s">
        <v>49</v>
      </c>
      <c r="B16" s="25"/>
      <c r="C16" s="25"/>
      <c r="D16" s="25"/>
      <c r="E16" s="26" t="n">
        <f aca="false">SUM(E4:E15)</f>
        <v>84200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20" t="s">
        <v>73</v>
      </c>
      <c r="B1" s="20"/>
      <c r="C1" s="20"/>
      <c r="D1" s="20"/>
      <c r="E1" s="20"/>
    </row>
    <row r="3" customFormat="false" ht="27.75" hidden="false" customHeight="true" outlineLevel="0" collapsed="false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</row>
    <row r="4" customFormat="false" ht="23.85" hidden="false" customHeight="false" outlineLevel="0" collapsed="false">
      <c r="A4" s="30" t="s">
        <v>51</v>
      </c>
      <c r="B4" s="13" t="s">
        <v>74</v>
      </c>
      <c r="C4" s="31" t="n">
        <v>20</v>
      </c>
      <c r="D4" s="32" t="n">
        <v>1200</v>
      </c>
      <c r="E4" s="15" t="n">
        <f aca="false">C4*D4</f>
        <v>24000</v>
      </c>
    </row>
    <row r="5" customFormat="false" ht="23.85" hidden="false" customHeight="false" outlineLevel="0" collapsed="false">
      <c r="A5" s="30" t="s">
        <v>53</v>
      </c>
      <c r="B5" s="13" t="s">
        <v>75</v>
      </c>
      <c r="C5" s="31" t="n">
        <v>19</v>
      </c>
      <c r="D5" s="32" t="n">
        <v>900</v>
      </c>
      <c r="E5" s="15" t="n">
        <f aca="false">C5*D5</f>
        <v>17100</v>
      </c>
    </row>
    <row r="6" customFormat="false" ht="15" hidden="false" customHeight="false" outlineLevel="0" collapsed="false">
      <c r="A6" s="30" t="s">
        <v>55</v>
      </c>
      <c r="B6" s="13" t="s">
        <v>76</v>
      </c>
      <c r="C6" s="31" t="n">
        <v>19</v>
      </c>
      <c r="D6" s="32" t="n">
        <v>400</v>
      </c>
      <c r="E6" s="15" t="n">
        <f aca="false">C6*D6</f>
        <v>7600</v>
      </c>
    </row>
    <row r="7" customFormat="false" ht="23.85" hidden="false" customHeight="false" outlineLevel="0" collapsed="false">
      <c r="A7" s="30" t="s">
        <v>57</v>
      </c>
      <c r="B7" s="13" t="s">
        <v>77</v>
      </c>
      <c r="C7" s="31" t="n">
        <v>1</v>
      </c>
      <c r="D7" s="32" t="n">
        <v>4500</v>
      </c>
      <c r="E7" s="15" t="n">
        <f aca="false">C7*D7</f>
        <v>4500</v>
      </c>
    </row>
    <row r="8" customFormat="false" ht="15" hidden="false" customHeight="false" outlineLevel="0" collapsed="false">
      <c r="A8" s="30" t="s">
        <v>59</v>
      </c>
      <c r="B8" s="13" t="s">
        <v>78</v>
      </c>
      <c r="C8" s="31" t="n">
        <v>2</v>
      </c>
      <c r="D8" s="32" t="n">
        <v>2500</v>
      </c>
      <c r="E8" s="15" t="n">
        <f aca="false">C8*D8</f>
        <v>5000</v>
      </c>
    </row>
    <row r="9" customFormat="false" ht="15" hidden="false" customHeight="false" outlineLevel="0" collapsed="false">
      <c r="A9" s="30" t="s">
        <v>61</v>
      </c>
      <c r="B9" s="13" t="s">
        <v>79</v>
      </c>
      <c r="C9" s="31" t="n">
        <v>4</v>
      </c>
      <c r="D9" s="32" t="n">
        <v>800</v>
      </c>
      <c r="E9" s="15" t="n">
        <f aca="false">C9*D9</f>
        <v>3200</v>
      </c>
    </row>
    <row r="10" customFormat="false" ht="15" hidden="false" customHeight="false" outlineLevel="0" collapsed="false">
      <c r="A10" s="30" t="s">
        <v>63</v>
      </c>
      <c r="B10" s="13" t="s">
        <v>64</v>
      </c>
      <c r="C10" s="31" t="n">
        <v>19</v>
      </c>
      <c r="D10" s="32" t="n">
        <v>150</v>
      </c>
      <c r="E10" s="15" t="n">
        <f aca="false">C10*D10</f>
        <v>2850</v>
      </c>
    </row>
    <row r="11" customFormat="false" ht="23.85" hidden="false" customHeight="false" outlineLevel="0" collapsed="false">
      <c r="A11" s="30" t="s">
        <v>80</v>
      </c>
      <c r="B11" s="13" t="s">
        <v>81</v>
      </c>
      <c r="C11" s="31" t="n">
        <v>1</v>
      </c>
      <c r="D11" s="32" t="n">
        <v>5000</v>
      </c>
      <c r="E11" s="15" t="n">
        <f aca="false">C11*D11</f>
        <v>5000</v>
      </c>
    </row>
    <row r="12" customFormat="false" ht="23.85" hidden="false" customHeight="false" outlineLevel="0" collapsed="false">
      <c r="A12" s="30" t="s">
        <v>80</v>
      </c>
      <c r="B12" s="13" t="s">
        <v>82</v>
      </c>
      <c r="C12" s="31" t="n">
        <v>1</v>
      </c>
      <c r="D12" s="32" t="n">
        <v>13000</v>
      </c>
      <c r="E12" s="15" t="n">
        <f aca="false">C12*D12</f>
        <v>13000</v>
      </c>
    </row>
    <row r="13" customFormat="false" ht="23.85" hidden="false" customHeight="false" outlineLevel="0" collapsed="false">
      <c r="A13" s="30" t="s">
        <v>80</v>
      </c>
      <c r="B13" s="13" t="s">
        <v>83</v>
      </c>
      <c r="C13" s="31" t="n">
        <v>1</v>
      </c>
      <c r="D13" s="32" t="n">
        <v>6000</v>
      </c>
      <c r="E13" s="15" t="n">
        <f aca="false">C13*D13</f>
        <v>6000</v>
      </c>
    </row>
    <row r="14" customFormat="false" ht="23.85" hidden="false" customHeight="false" outlineLevel="0" collapsed="false">
      <c r="A14" s="30" t="s">
        <v>80</v>
      </c>
      <c r="B14" s="13" t="s">
        <v>84</v>
      </c>
      <c r="C14" s="31" t="n">
        <v>1</v>
      </c>
      <c r="D14" s="32" t="n">
        <v>6000</v>
      </c>
      <c r="E14" s="15" t="n">
        <f aca="false">C14*D14</f>
        <v>6000</v>
      </c>
    </row>
    <row r="15" customFormat="false" ht="15" hidden="false" customHeight="false" outlineLevel="0" collapsed="false">
      <c r="A15" s="30" t="s">
        <v>80</v>
      </c>
      <c r="B15" s="13" t="s">
        <v>85</v>
      </c>
      <c r="C15" s="31" t="n">
        <v>1</v>
      </c>
      <c r="D15" s="32" t="n">
        <v>4500</v>
      </c>
      <c r="E15" s="15" t="n">
        <f aca="false">C15*D15</f>
        <v>4500</v>
      </c>
    </row>
    <row r="16" customFormat="false" ht="15" hidden="false" customHeight="false" outlineLevel="0" collapsed="false">
      <c r="A16" s="30" t="s">
        <v>80</v>
      </c>
      <c r="B16" s="13" t="s">
        <v>86</v>
      </c>
      <c r="C16" s="31" t="n">
        <v>1</v>
      </c>
      <c r="D16" s="32" t="n">
        <v>2500</v>
      </c>
      <c r="E16" s="15" t="n">
        <f aca="false">C16*D16</f>
        <v>2500</v>
      </c>
    </row>
    <row r="17" customFormat="false" ht="15" hidden="false" customHeight="false" outlineLevel="0" collapsed="false">
      <c r="A17" s="30" t="s">
        <v>65</v>
      </c>
      <c r="B17" s="13" t="s">
        <v>87</v>
      </c>
      <c r="C17" s="31" t="n">
        <v>1</v>
      </c>
      <c r="D17" s="32" t="n">
        <v>1500</v>
      </c>
      <c r="E17" s="15" t="n">
        <f aca="false">C17*D17</f>
        <v>1500</v>
      </c>
    </row>
    <row r="18" customFormat="false" ht="15" hidden="false" customHeight="false" outlineLevel="0" collapsed="false">
      <c r="A18" s="30" t="s">
        <v>67</v>
      </c>
      <c r="B18" s="13" t="s">
        <v>88</v>
      </c>
      <c r="C18" s="31" t="n">
        <v>1</v>
      </c>
      <c r="D18" s="32" t="n">
        <v>3500</v>
      </c>
      <c r="E18" s="15" t="n">
        <f aca="false">C18*D18</f>
        <v>3500</v>
      </c>
    </row>
    <row r="19" customFormat="false" ht="15" hidden="false" customHeight="false" outlineLevel="0" collapsed="false">
      <c r="A19" s="30" t="s">
        <v>67</v>
      </c>
      <c r="B19" s="13" t="s">
        <v>89</v>
      </c>
      <c r="C19" s="31" t="n">
        <v>10</v>
      </c>
      <c r="D19" s="32" t="n">
        <v>300</v>
      </c>
      <c r="E19" s="15" t="n">
        <f aca="false">C19*D19</f>
        <v>3000</v>
      </c>
    </row>
    <row r="20" customFormat="false" ht="15" hidden="false" customHeight="false" outlineLevel="0" collapsed="false">
      <c r="A20" s="30" t="s">
        <v>70</v>
      </c>
      <c r="B20" s="13" t="s">
        <v>90</v>
      </c>
      <c r="C20" s="31" t="n">
        <v>1</v>
      </c>
      <c r="D20" s="32" t="n">
        <v>4000</v>
      </c>
      <c r="E20" s="15" t="n">
        <f aca="false">C20*D20</f>
        <v>4000</v>
      </c>
    </row>
    <row r="21" customFormat="false" ht="15" hidden="false" customHeight="false" outlineLevel="0" collapsed="false">
      <c r="A21" s="30" t="s">
        <v>47</v>
      </c>
      <c r="B21" s="13" t="s">
        <v>47</v>
      </c>
      <c r="C21" s="31" t="n">
        <v>1</v>
      </c>
      <c r="D21" s="32" t="n">
        <v>4750</v>
      </c>
      <c r="E21" s="15" t="n">
        <f aca="false">C21*D21</f>
        <v>4750</v>
      </c>
    </row>
    <row r="22" customFormat="false" ht="21.75" hidden="false" customHeight="true" outlineLevel="0" collapsed="false">
      <c r="A22" s="24" t="s">
        <v>49</v>
      </c>
      <c r="B22" s="25"/>
      <c r="C22" s="25"/>
      <c r="D22" s="25"/>
      <c r="E22" s="26" t="n">
        <f aca="false">SUM(E4:E21)</f>
        <v>118000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20" t="s">
        <v>91</v>
      </c>
      <c r="B1" s="20"/>
      <c r="C1" s="20"/>
      <c r="D1" s="20"/>
    </row>
    <row r="2" customFormat="false" ht="15" hidden="false" customHeight="false" outlineLevel="0" collapsed="false">
      <c r="A2" s="2" t="s">
        <v>92</v>
      </c>
      <c r="B2" s="2"/>
      <c r="C2" s="2"/>
      <c r="D2" s="2"/>
    </row>
    <row r="4" customFormat="false" ht="27.75" hidden="false" customHeight="true" outlineLevel="0" collapsed="false">
      <c r="A4" s="3" t="s">
        <v>93</v>
      </c>
      <c r="B4" s="3" t="s">
        <v>5</v>
      </c>
      <c r="C4" s="3" t="s">
        <v>94</v>
      </c>
      <c r="D4" s="3" t="s">
        <v>95</v>
      </c>
    </row>
    <row r="5" customFormat="false" ht="79.5" hidden="false" customHeight="true" outlineLevel="0" collapsed="false">
      <c r="A5" s="30" t="s">
        <v>96</v>
      </c>
      <c r="B5" s="13" t="s">
        <v>97</v>
      </c>
      <c r="C5" s="13" t="s">
        <v>98</v>
      </c>
      <c r="D5" s="33" t="n">
        <v>5000</v>
      </c>
    </row>
    <row r="6" customFormat="false" ht="79.5" hidden="false" customHeight="true" outlineLevel="0" collapsed="false">
      <c r="A6" s="30" t="s">
        <v>99</v>
      </c>
      <c r="B6" s="13" t="s">
        <v>100</v>
      </c>
      <c r="C6" s="13" t="s">
        <v>101</v>
      </c>
      <c r="D6" s="33" t="n">
        <v>13000</v>
      </c>
    </row>
    <row r="7" customFormat="false" ht="79.5" hidden="false" customHeight="true" outlineLevel="0" collapsed="false">
      <c r="A7" s="30" t="s">
        <v>102</v>
      </c>
      <c r="B7" s="13" t="s">
        <v>103</v>
      </c>
      <c r="C7" s="13" t="s">
        <v>104</v>
      </c>
      <c r="D7" s="33" t="n">
        <v>6000</v>
      </c>
    </row>
    <row r="8" customFormat="false" ht="79.5" hidden="false" customHeight="true" outlineLevel="0" collapsed="false">
      <c r="A8" s="30" t="s">
        <v>105</v>
      </c>
      <c r="B8" s="13" t="s">
        <v>106</v>
      </c>
      <c r="C8" s="13" t="s">
        <v>98</v>
      </c>
      <c r="D8" s="33" t="n">
        <v>6000</v>
      </c>
    </row>
    <row r="9" customFormat="false" ht="79.5" hidden="false" customHeight="true" outlineLevel="0" collapsed="false">
      <c r="A9" s="30" t="s">
        <v>107</v>
      </c>
      <c r="B9" s="13" t="s">
        <v>108</v>
      </c>
      <c r="C9" s="13" t="s">
        <v>109</v>
      </c>
      <c r="D9" s="33" t="n">
        <v>4500</v>
      </c>
    </row>
    <row r="10" customFormat="false" ht="79.5" hidden="false" customHeight="true" outlineLevel="0" collapsed="false">
      <c r="A10" s="30" t="s">
        <v>110</v>
      </c>
      <c r="B10" s="13" t="s">
        <v>111</v>
      </c>
      <c r="C10" s="13" t="s">
        <v>104</v>
      </c>
      <c r="D10" s="33" t="n">
        <v>2500</v>
      </c>
    </row>
    <row r="11" customFormat="false" ht="79.5" hidden="false" customHeight="true" outlineLevel="0" collapsed="false">
      <c r="A11" s="34" t="s">
        <v>112</v>
      </c>
      <c r="B11" s="34" t="s">
        <v>113</v>
      </c>
      <c r="C11" s="34" t="s">
        <v>114</v>
      </c>
      <c r="D11" s="35" t="n">
        <v>37000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35"/>
  </cols>
  <sheetData>
    <row r="1" customFormat="false" ht="17.35" hidden="false" customHeight="false" outlineLevel="0" collapsed="false">
      <c r="A1" s="20" t="s">
        <v>115</v>
      </c>
      <c r="B1" s="20"/>
      <c r="C1" s="20"/>
      <c r="D1" s="20"/>
      <c r="E1" s="20"/>
    </row>
    <row r="3" customFormat="false" ht="25.5" hidden="false" customHeight="true" outlineLevel="0" collapsed="false">
      <c r="A3" s="3" t="s">
        <v>116</v>
      </c>
      <c r="B3" s="3" t="s">
        <v>117</v>
      </c>
      <c r="C3" s="3" t="s">
        <v>118</v>
      </c>
      <c r="D3" s="3" t="s">
        <v>119</v>
      </c>
      <c r="E3" s="3" t="s">
        <v>120</v>
      </c>
    </row>
    <row r="4" customFormat="false" ht="15" hidden="false" customHeight="false" outlineLevel="0" collapsed="false">
      <c r="A4" s="17" t="n">
        <v>0</v>
      </c>
      <c r="B4" s="17" t="s">
        <v>121</v>
      </c>
      <c r="C4" s="17" t="s">
        <v>122</v>
      </c>
      <c r="D4" s="17" t="s">
        <v>123</v>
      </c>
      <c r="E4" s="17" t="s">
        <v>124</v>
      </c>
    </row>
    <row r="5" customFormat="false" ht="15" hidden="false" customHeight="false" outlineLevel="0" collapsed="false">
      <c r="A5" s="17" t="n">
        <v>1</v>
      </c>
      <c r="B5" s="17" t="s">
        <v>125</v>
      </c>
      <c r="C5" s="17" t="s">
        <v>122</v>
      </c>
      <c r="D5" s="17" t="s">
        <v>123</v>
      </c>
      <c r="E5" s="17"/>
    </row>
    <row r="6" customFormat="false" ht="15" hidden="false" customHeight="false" outlineLevel="0" collapsed="false">
      <c r="A6" s="17" t="n">
        <v>2</v>
      </c>
      <c r="B6" s="17" t="s">
        <v>126</v>
      </c>
      <c r="C6" s="17" t="s">
        <v>122</v>
      </c>
      <c r="D6" s="17" t="s">
        <v>123</v>
      </c>
      <c r="E6" s="17"/>
    </row>
    <row r="7" customFormat="false" ht="15" hidden="false" customHeight="false" outlineLevel="0" collapsed="false">
      <c r="A7" s="17" t="n">
        <v>3</v>
      </c>
      <c r="B7" s="17" t="s">
        <v>127</v>
      </c>
      <c r="C7" s="17" t="s">
        <v>128</v>
      </c>
      <c r="D7" s="17" t="s">
        <v>129</v>
      </c>
      <c r="E7" s="17"/>
    </row>
    <row r="8" customFormat="false" ht="15" hidden="false" customHeight="false" outlineLevel="0" collapsed="false">
      <c r="A8" s="17" t="n">
        <v>4</v>
      </c>
      <c r="B8" s="17" t="s">
        <v>130</v>
      </c>
      <c r="C8" s="17" t="s">
        <v>128</v>
      </c>
      <c r="D8" s="17" t="s">
        <v>129</v>
      </c>
      <c r="E8" s="17"/>
    </row>
    <row r="9" customFormat="false" ht="15" hidden="false" customHeight="false" outlineLevel="0" collapsed="false">
      <c r="A9" s="17" t="n">
        <v>5</v>
      </c>
      <c r="B9" s="17" t="s">
        <v>131</v>
      </c>
      <c r="C9" s="17" t="s">
        <v>128</v>
      </c>
      <c r="D9" s="17" t="s">
        <v>129</v>
      </c>
      <c r="E9" s="17"/>
    </row>
    <row r="10" customFormat="false" ht="15" hidden="false" customHeight="false" outlineLevel="0" collapsed="false">
      <c r="A10" s="17" t="n">
        <v>6</v>
      </c>
      <c r="B10" s="17" t="s">
        <v>132</v>
      </c>
      <c r="C10" s="17" t="s">
        <v>128</v>
      </c>
      <c r="D10" s="17" t="s">
        <v>133</v>
      </c>
      <c r="E10" s="17"/>
    </row>
    <row r="11" customFormat="false" ht="15" hidden="false" customHeight="false" outlineLevel="0" collapsed="false">
      <c r="A11" s="17" t="n">
        <v>7</v>
      </c>
      <c r="B11" s="17" t="s">
        <v>134</v>
      </c>
      <c r="C11" s="17" t="s">
        <v>128</v>
      </c>
      <c r="D11" s="17" t="s">
        <v>133</v>
      </c>
      <c r="E11" s="17"/>
    </row>
    <row r="12" customFormat="false" ht="15" hidden="false" customHeight="false" outlineLevel="0" collapsed="false">
      <c r="A12" s="17" t="n">
        <v>8</v>
      </c>
      <c r="B12" s="17" t="s">
        <v>135</v>
      </c>
      <c r="C12" s="17" t="s">
        <v>128</v>
      </c>
      <c r="D12" s="17" t="s">
        <v>133</v>
      </c>
      <c r="E12" s="17"/>
    </row>
    <row r="13" customFormat="false" ht="15" hidden="false" customHeight="false" outlineLevel="0" collapsed="false">
      <c r="A13" s="17" t="n">
        <v>9</v>
      </c>
      <c r="B13" s="17" t="s">
        <v>136</v>
      </c>
      <c r="C13" s="17" t="s">
        <v>137</v>
      </c>
      <c r="D13" s="17" t="s">
        <v>138</v>
      </c>
      <c r="E13" s="17"/>
    </row>
    <row r="14" customFormat="false" ht="15" hidden="false" customHeight="false" outlineLevel="0" collapsed="false">
      <c r="A14" s="17" t="n">
        <v>10</v>
      </c>
      <c r="B14" s="17" t="s">
        <v>139</v>
      </c>
      <c r="C14" s="17" t="s">
        <v>137</v>
      </c>
      <c r="D14" s="17" t="s">
        <v>138</v>
      </c>
      <c r="E14" s="17"/>
    </row>
    <row r="15" customFormat="false" ht="15" hidden="false" customHeight="false" outlineLevel="0" collapsed="false">
      <c r="A15" s="17" t="n">
        <v>11</v>
      </c>
      <c r="B15" s="17" t="s">
        <v>140</v>
      </c>
      <c r="C15" s="17" t="s">
        <v>137</v>
      </c>
      <c r="D15" s="17" t="s">
        <v>138</v>
      </c>
      <c r="E15" s="17"/>
    </row>
    <row r="16" customFormat="false" ht="15" hidden="false" customHeight="false" outlineLevel="0" collapsed="false">
      <c r="A16" s="17" t="n">
        <v>12</v>
      </c>
      <c r="B16" s="17" t="s">
        <v>141</v>
      </c>
      <c r="C16" s="17" t="s">
        <v>137</v>
      </c>
      <c r="D16" s="17" t="s">
        <v>138</v>
      </c>
      <c r="E16" s="17"/>
    </row>
    <row r="17" customFormat="false" ht="15" hidden="false" customHeight="false" outlineLevel="0" collapsed="false">
      <c r="A17" s="17" t="n">
        <v>13</v>
      </c>
      <c r="B17" s="17" t="s">
        <v>142</v>
      </c>
      <c r="C17" s="17" t="s">
        <v>137</v>
      </c>
      <c r="D17" s="17" t="s">
        <v>143</v>
      </c>
      <c r="E17" s="17"/>
    </row>
    <row r="18" customFormat="false" ht="15" hidden="false" customHeight="false" outlineLevel="0" collapsed="false">
      <c r="A18" s="17" t="n">
        <v>14</v>
      </c>
      <c r="B18" s="17" t="s">
        <v>144</v>
      </c>
      <c r="C18" s="17" t="s">
        <v>137</v>
      </c>
      <c r="D18" s="17" t="s">
        <v>143</v>
      </c>
      <c r="E18" s="17"/>
    </row>
    <row r="19" customFormat="false" ht="15" hidden="false" customHeight="false" outlineLevel="0" collapsed="false">
      <c r="A19" s="17" t="n">
        <v>15</v>
      </c>
      <c r="B19" s="17" t="s">
        <v>145</v>
      </c>
      <c r="C19" s="17" t="s">
        <v>137</v>
      </c>
      <c r="D19" s="17" t="s">
        <v>143</v>
      </c>
      <c r="E19" s="17"/>
    </row>
    <row r="20" customFormat="false" ht="15" hidden="false" customHeight="false" outlineLevel="0" collapsed="false">
      <c r="A20" s="17" t="n">
        <v>16</v>
      </c>
      <c r="B20" s="17" t="s">
        <v>146</v>
      </c>
      <c r="C20" s="17" t="s">
        <v>137</v>
      </c>
      <c r="D20" s="17" t="s">
        <v>143</v>
      </c>
      <c r="E20" s="17"/>
    </row>
    <row r="21" customFormat="false" ht="15" hidden="false" customHeight="false" outlineLevel="0" collapsed="false">
      <c r="A21" s="17" t="n">
        <v>17</v>
      </c>
      <c r="B21" s="17" t="s">
        <v>147</v>
      </c>
      <c r="C21" s="17" t="s">
        <v>137</v>
      </c>
      <c r="D21" s="17" t="s">
        <v>148</v>
      </c>
      <c r="E21" s="17"/>
    </row>
    <row r="22" customFormat="false" ht="15" hidden="false" customHeight="false" outlineLevel="0" collapsed="false">
      <c r="A22" s="17" t="n">
        <v>18</v>
      </c>
      <c r="B22" s="17" t="s">
        <v>149</v>
      </c>
      <c r="C22" s="17" t="s">
        <v>137</v>
      </c>
      <c r="D22" s="17" t="s">
        <v>148</v>
      </c>
      <c r="E22" s="17" t="s">
        <v>150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2026-04-09T17:59:34Z</dcterms:created>
  <dc:creator>openpyxl</dc:creator>
  <dc:description/>
  <dc:language>en-US</dc:language>
  <cp:lastModifiedBy/>
  <dcterms:modified xsi:type="dcterms:W3CDTF">2026-04-09T17:59:34Z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